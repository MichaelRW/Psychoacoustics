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50 Projects\Psychoacoustics\05 Lentz Textbook - Saturday, May 10, 2025\15 Lab Exercises\01 Chapter 1\"/>
    </mc:Choice>
  </mc:AlternateContent>
  <xr:revisionPtr revIDLastSave="0" documentId="13_ncr:1_{B6B27F8C-9896-40C7-A181-A35863282181}" xr6:coauthVersionLast="47" xr6:coauthVersionMax="47" xr10:uidLastSave="{00000000-0000-0000-0000-000000000000}"/>
  <bookViews>
    <workbookView xWindow="-120" yWindow="-120" windowWidth="29040" windowHeight="15720" xr2:uid="{5D6BBD3E-E667-48EA-AEAE-32FF6C412F79}"/>
  </bookViews>
  <sheets>
    <sheet name="Data_Collection Sheet" sheetId="1" r:id="rId1"/>
    <sheet name="Answer Key" sheetId="3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9" i="1" l="1"/>
  <c r="B36" i="3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8" i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G5" i="3"/>
  <c r="F5" i="3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5" i="3"/>
  <c r="H36" i="3"/>
  <c r="C43" i="1"/>
  <c r="G36" i="3"/>
  <c r="C42" i="1"/>
  <c r="F36" i="3"/>
  <c r="C41" i="1"/>
  <c r="E36" i="3"/>
  <c r="C40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D39" i="1"/>
  <c r="F8" i="1"/>
  <c r="C39" i="1"/>
</calcChain>
</file>

<file path=xl/sharedStrings.xml><?xml version="1.0" encoding="utf-8"?>
<sst xmlns="http://schemas.openxmlformats.org/spreadsheetml/2006/main" count="24" uniqueCount="19">
  <si>
    <t>Data Collection Sheet for Lab Exercise 1</t>
  </si>
  <si>
    <t>Yes/No</t>
  </si>
  <si>
    <t>For the Yes/No experiment, put a 1 for a YES and a 0 for a No</t>
  </si>
  <si>
    <t>For the 2I-2AFC experiment, for a 1 for interval 1 and a 2 for interval 2</t>
  </si>
  <si>
    <t>Y-N Correct Ans</t>
  </si>
  <si>
    <t>2AFC correct ans</t>
  </si>
  <si>
    <t>2I-2AFC</t>
  </si>
  <si>
    <t>Answers for Lab Exercise 1</t>
  </si>
  <si>
    <t>YES/No</t>
  </si>
  <si>
    <t>Hits</t>
  </si>
  <si>
    <t>Misses</t>
  </si>
  <si>
    <t>False Alarms</t>
  </si>
  <si>
    <t>Correct Rejections</t>
  </si>
  <si>
    <t>Yes/No Correct?</t>
  </si>
  <si>
    <t>2AFC Correct or Incorrect?</t>
  </si>
  <si>
    <t>Trial</t>
  </si>
  <si>
    <t>Sum</t>
  </si>
  <si>
    <t>Index</t>
  </si>
  <si>
    <t>Percent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</si>
</sst>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3"/>
  <sheetViews>
    <sheetView tabSelected="1" zoomScale="70" zoomScaleNormal="70" workbookViewId="0"/>
  </sheetViews>
  <sheetFormatPr defaultColWidth="10.875" defaultRowHeight="18.75" x14ac:dyDescent="0.3"/>
  <cols>
    <col min="1" max="1" width="10.875" style="1"/>
    <col min="2" max="2" width="13" style="1" customWidth="1"/>
    <col min="3" max="3" width="14" style="1" customWidth="1"/>
    <col min="4" max="4" width="8.875" style="1" bestFit="1" customWidth="1"/>
    <col min="5" max="5" width="4.375" style="1" customWidth="1"/>
    <col min="6" max="6" width="8.5" style="1" bestFit="1" customWidth="1"/>
    <col min="7" max="7" width="8.875" style="1" bestFit="1" customWidth="1"/>
    <col min="8" max="8" width="17.75" style="1" bestFit="1" customWidth="1"/>
    <col min="9" max="9" width="27.875" style="1" bestFit="1" customWidth="1"/>
    <col min="10" max="16384" width="10.875" style="1"/>
  </cols>
  <sheetData>
    <row r="2" spans="2:10" ht="18.75" customHeight="1" x14ac:dyDescent="0.3">
      <c r="B2" s="14" t="s">
        <v>0</v>
      </c>
      <c r="C2" s="14"/>
      <c r="D2" s="14"/>
      <c r="E2" s="14"/>
    </row>
    <row r="4" spans="2:10" ht="21" customHeight="1" x14ac:dyDescent="0.3">
      <c r="C4" s="1" t="s">
        <v>2</v>
      </c>
    </row>
    <row r="5" spans="2:10" ht="21" customHeight="1" x14ac:dyDescent="0.3">
      <c r="C5" s="1" t="s">
        <v>3</v>
      </c>
    </row>
    <row r="7" spans="2:10" ht="21.95" customHeight="1" x14ac:dyDescent="0.3">
      <c r="B7" s="6" t="s">
        <v>15</v>
      </c>
      <c r="C7" s="16" t="s">
        <v>1</v>
      </c>
      <c r="D7" s="16" t="s">
        <v>6</v>
      </c>
      <c r="E7" s="15"/>
      <c r="F7" s="18" t="s">
        <v>8</v>
      </c>
      <c r="G7" s="18" t="s">
        <v>6</v>
      </c>
      <c r="H7" s="18" t="s">
        <v>13</v>
      </c>
      <c r="I7" s="18" t="s">
        <v>14</v>
      </c>
      <c r="J7" s="3"/>
    </row>
    <row r="8" spans="2:10" x14ac:dyDescent="0.3">
      <c r="B8" s="4">
        <v>1</v>
      </c>
      <c r="C8" s="17">
        <v>1</v>
      </c>
      <c r="D8" s="17">
        <v>1</v>
      </c>
      <c r="E8" s="2"/>
      <c r="F8" s="19">
        <f>IF(C8='Answer Key'!B5,1,0)</f>
        <v>1</v>
      </c>
      <c r="G8" s="19">
        <f>IF(D8='Answer Key'!C5,1,0)</f>
        <v>1</v>
      </c>
      <c r="H8" s="19" t="str">
        <f>IF(C8="","",IF(C8='Answer Key'!B5,"Correct","Incorrect"))</f>
        <v>Correct</v>
      </c>
      <c r="I8" s="19" t="str">
        <f>IF(D8="","",IF(D8='Answer Key'!C5,"Correct","Incorrect"))</f>
        <v>Correct</v>
      </c>
      <c r="J8" s="2"/>
    </row>
    <row r="9" spans="2:10" x14ac:dyDescent="0.3">
      <c r="B9" s="4">
        <v>2</v>
      </c>
      <c r="C9" s="17">
        <v>1</v>
      </c>
      <c r="D9" s="17">
        <v>2</v>
      </c>
      <c r="E9" s="2"/>
      <c r="F9" s="19">
        <f>IF(C9='Answer Key'!B6,1,0)</f>
        <v>1</v>
      </c>
      <c r="G9" s="19">
        <f>IF(D9='Answer Key'!C6,1,0)</f>
        <v>1</v>
      </c>
      <c r="H9" s="19" t="str">
        <f>IF(C9="","",IF(C9='Answer Key'!B6,"Correct","Incorrect"))</f>
        <v>Correct</v>
      </c>
      <c r="I9" s="19" t="str">
        <f>IF(D9="","",IF(D9='Answer Key'!C6,"Correct","Incorrect"))</f>
        <v>Correct</v>
      </c>
      <c r="J9" s="2"/>
    </row>
    <row r="10" spans="2:10" x14ac:dyDescent="0.3">
      <c r="B10" s="4">
        <v>3</v>
      </c>
      <c r="C10" s="17">
        <v>0</v>
      </c>
      <c r="D10" s="17">
        <v>2</v>
      </c>
      <c r="E10" s="2"/>
      <c r="F10" s="19">
        <f>IF(C10='Answer Key'!B7,1,0)</f>
        <v>1</v>
      </c>
      <c r="G10" s="19">
        <f>IF(D10='Answer Key'!C7,1,0)</f>
        <v>1</v>
      </c>
      <c r="H10" s="19" t="str">
        <f>IF(C10="","",IF(C10='Answer Key'!B7,"Correct","Incorrect"))</f>
        <v>Correct</v>
      </c>
      <c r="I10" s="19" t="str">
        <f>IF(D10="","",IF(D10='Answer Key'!C7,"Correct","Incorrect"))</f>
        <v>Correct</v>
      </c>
      <c r="J10" s="2"/>
    </row>
    <row r="11" spans="2:10" x14ac:dyDescent="0.3">
      <c r="B11" s="4">
        <v>4</v>
      </c>
      <c r="C11" s="17">
        <v>1</v>
      </c>
      <c r="D11" s="17">
        <v>1</v>
      </c>
      <c r="E11" s="2"/>
      <c r="F11" s="19">
        <f>IF(C11='Answer Key'!B8,1,0)</f>
        <v>1</v>
      </c>
      <c r="G11" s="19">
        <f>IF(D11='Answer Key'!C8,1,0)</f>
        <v>1</v>
      </c>
      <c r="H11" s="19" t="str">
        <f>IF(C11="","",IF(C11='Answer Key'!B8,"Correct","Incorrect"))</f>
        <v>Correct</v>
      </c>
      <c r="I11" s="19" t="str">
        <f>IF(D11="","",IF(D11='Answer Key'!C8,"Correct","Incorrect"))</f>
        <v>Correct</v>
      </c>
      <c r="J11" s="2"/>
    </row>
    <row r="12" spans="2:10" x14ac:dyDescent="0.3">
      <c r="B12" s="4">
        <v>5</v>
      </c>
      <c r="C12" s="17">
        <v>0</v>
      </c>
      <c r="D12" s="17">
        <v>1</v>
      </c>
      <c r="E12" s="2"/>
      <c r="F12" s="19">
        <f>IF(C12='Answer Key'!B9,1,0)</f>
        <v>1</v>
      </c>
      <c r="G12" s="19">
        <f>IF(D12='Answer Key'!C9,1,0)</f>
        <v>1</v>
      </c>
      <c r="H12" s="19" t="str">
        <f>IF(C12="","",IF(C12='Answer Key'!B9,"Correct","Incorrect"))</f>
        <v>Correct</v>
      </c>
      <c r="I12" s="19" t="str">
        <f>IF(D12="","",IF(D12='Answer Key'!C9,"Correct","Incorrect"))</f>
        <v>Correct</v>
      </c>
      <c r="J12" s="2"/>
    </row>
    <row r="13" spans="2:10" x14ac:dyDescent="0.3">
      <c r="B13" s="4">
        <v>6</v>
      </c>
      <c r="C13" s="17">
        <v>0</v>
      </c>
      <c r="D13" s="17">
        <v>1</v>
      </c>
      <c r="E13" s="2"/>
      <c r="F13" s="19">
        <f>IF(C13='Answer Key'!B10,1,0)</f>
        <v>1</v>
      </c>
      <c r="G13" s="19">
        <f>IF(D13='Answer Key'!C10,1,0)</f>
        <v>1</v>
      </c>
      <c r="H13" s="19" t="str">
        <f>IF(C13="","",IF(C13='Answer Key'!B10,"Correct","Incorrect"))</f>
        <v>Correct</v>
      </c>
      <c r="I13" s="19" t="str">
        <f>IF(D13="","",IF(D13='Answer Key'!C10,"Correct","Incorrect"))</f>
        <v>Correct</v>
      </c>
      <c r="J13" s="2"/>
    </row>
    <row r="14" spans="2:10" x14ac:dyDescent="0.3">
      <c r="B14" s="4">
        <v>7</v>
      </c>
      <c r="C14" s="17">
        <v>1</v>
      </c>
      <c r="D14" s="17">
        <v>2</v>
      </c>
      <c r="E14" s="2"/>
      <c r="F14" s="19">
        <f>IF(C14='Answer Key'!B11,1,0)</f>
        <v>1</v>
      </c>
      <c r="G14" s="19">
        <f>IF(D14='Answer Key'!C11,1,0)</f>
        <v>1</v>
      </c>
      <c r="H14" s="19" t="str">
        <f>IF(C14="","",IF(C14='Answer Key'!B11,"Correct","Incorrect"))</f>
        <v>Correct</v>
      </c>
      <c r="I14" s="19" t="str">
        <f>IF(D14="","",IF(D14='Answer Key'!C11,"Correct","Incorrect"))</f>
        <v>Correct</v>
      </c>
      <c r="J14" s="2"/>
    </row>
    <row r="15" spans="2:10" x14ac:dyDescent="0.3">
      <c r="B15" s="4">
        <v>8</v>
      </c>
      <c r="C15" s="17">
        <v>1</v>
      </c>
      <c r="D15" s="17">
        <v>1</v>
      </c>
      <c r="E15" s="2"/>
      <c r="F15" s="19">
        <f>IF(C15='Answer Key'!B12,1,0)</f>
        <v>1</v>
      </c>
      <c r="G15" s="19">
        <f>IF(D15='Answer Key'!C12,1,0)</f>
        <v>1</v>
      </c>
      <c r="H15" s="19" t="str">
        <f>IF(C15="","",IF(C15='Answer Key'!B12,"Correct","Incorrect"))</f>
        <v>Correct</v>
      </c>
      <c r="I15" s="19" t="str">
        <f>IF(D15="","",IF(D15='Answer Key'!C12,"Correct","Incorrect"))</f>
        <v>Correct</v>
      </c>
      <c r="J15" s="2"/>
    </row>
    <row r="16" spans="2:10" x14ac:dyDescent="0.3">
      <c r="B16" s="4">
        <v>9</v>
      </c>
      <c r="C16" s="17">
        <v>0</v>
      </c>
      <c r="D16" s="17">
        <v>2</v>
      </c>
      <c r="E16" s="2"/>
      <c r="F16" s="19">
        <f>IF(C16='Answer Key'!B13,1,0)</f>
        <v>1</v>
      </c>
      <c r="G16" s="19">
        <f>IF(D16='Answer Key'!C13,1,0)</f>
        <v>1</v>
      </c>
      <c r="H16" s="19" t="str">
        <f>IF(C16="","",IF(C16='Answer Key'!B13,"Correct","Incorrect"))</f>
        <v>Correct</v>
      </c>
      <c r="I16" s="19" t="str">
        <f>IF(D16="","",IF(D16='Answer Key'!C13,"Correct","Incorrect"))</f>
        <v>Correct</v>
      </c>
      <c r="J16" s="2"/>
    </row>
    <row r="17" spans="2:10" x14ac:dyDescent="0.3">
      <c r="B17" s="4">
        <v>10</v>
      </c>
      <c r="C17" s="17">
        <v>1</v>
      </c>
      <c r="D17" s="17">
        <v>1</v>
      </c>
      <c r="E17" s="2"/>
      <c r="F17" s="19">
        <f>IF(C17='Answer Key'!B14,1,0)</f>
        <v>1</v>
      </c>
      <c r="G17" s="19">
        <f>IF(D17='Answer Key'!C14,1,0)</f>
        <v>1</v>
      </c>
      <c r="H17" s="19" t="str">
        <f>IF(C17="","",IF(C17='Answer Key'!B14,"Correct","Incorrect"))</f>
        <v>Correct</v>
      </c>
      <c r="I17" s="19" t="str">
        <f>IF(D17="","",IF(D17='Answer Key'!C14,"Correct","Incorrect"))</f>
        <v>Correct</v>
      </c>
      <c r="J17" s="2"/>
    </row>
    <row r="18" spans="2:10" x14ac:dyDescent="0.3">
      <c r="B18" s="4">
        <v>11</v>
      </c>
      <c r="C18" s="17">
        <v>0</v>
      </c>
      <c r="D18" s="17">
        <v>2</v>
      </c>
      <c r="E18" s="2"/>
      <c r="F18" s="19">
        <f>IF(C18='Answer Key'!B15,1,0)</f>
        <v>1</v>
      </c>
      <c r="G18" s="19">
        <f>IF(D18='Answer Key'!C15,1,0)</f>
        <v>1</v>
      </c>
      <c r="H18" s="19" t="str">
        <f>IF(C18="","",IF(C18='Answer Key'!B15,"Correct","Incorrect"))</f>
        <v>Correct</v>
      </c>
      <c r="I18" s="19" t="str">
        <f>IF(D18="","",IF(D18='Answer Key'!C15,"Correct","Incorrect"))</f>
        <v>Correct</v>
      </c>
      <c r="J18" s="2"/>
    </row>
    <row r="19" spans="2:10" x14ac:dyDescent="0.3">
      <c r="B19" s="4">
        <v>12</v>
      </c>
      <c r="C19" s="17">
        <v>1</v>
      </c>
      <c r="D19" s="17">
        <v>2</v>
      </c>
      <c r="E19" s="2"/>
      <c r="F19" s="19">
        <f>IF(C19='Answer Key'!B16,1,0)</f>
        <v>1</v>
      </c>
      <c r="G19" s="19">
        <f>IF(D19='Answer Key'!C16,1,0)</f>
        <v>1</v>
      </c>
      <c r="H19" s="19" t="str">
        <f>IF(C19="","",IF(C19='Answer Key'!B16,"Correct","Incorrect"))</f>
        <v>Correct</v>
      </c>
      <c r="I19" s="19" t="str">
        <f>IF(D19="","",IF(D19='Answer Key'!C16,"Correct","Incorrect"))</f>
        <v>Correct</v>
      </c>
      <c r="J19" s="2"/>
    </row>
    <row r="20" spans="2:10" x14ac:dyDescent="0.3">
      <c r="B20" s="4">
        <v>13</v>
      </c>
      <c r="C20" s="17">
        <v>1</v>
      </c>
      <c r="D20" s="17">
        <v>1</v>
      </c>
      <c r="E20" s="2"/>
      <c r="F20" s="19">
        <f>IF(C20='Answer Key'!B17,1,0)</f>
        <v>1</v>
      </c>
      <c r="G20" s="19">
        <f>IF(D20='Answer Key'!C17,1,0)</f>
        <v>1</v>
      </c>
      <c r="H20" s="19" t="str">
        <f>IF(C20="","",IF(C20='Answer Key'!B17,"Correct","Incorrect"))</f>
        <v>Correct</v>
      </c>
      <c r="I20" s="19" t="str">
        <f>IF(D20="","",IF(D20='Answer Key'!C17,"Correct","Incorrect"))</f>
        <v>Correct</v>
      </c>
      <c r="J20" s="2"/>
    </row>
    <row r="21" spans="2:10" x14ac:dyDescent="0.3">
      <c r="B21" s="4">
        <v>14</v>
      </c>
      <c r="C21" s="17">
        <v>0</v>
      </c>
      <c r="D21" s="17">
        <v>1</v>
      </c>
      <c r="E21" s="2"/>
      <c r="F21" s="19">
        <f>IF(C21='Answer Key'!B18,1,0)</f>
        <v>1</v>
      </c>
      <c r="G21" s="19">
        <f>IF(D21='Answer Key'!C18,1,0)</f>
        <v>1</v>
      </c>
      <c r="H21" s="19" t="str">
        <f>IF(C21="","",IF(C21='Answer Key'!B18,"Correct","Incorrect"))</f>
        <v>Correct</v>
      </c>
      <c r="I21" s="19" t="str">
        <f>IF(D21="","",IF(D21='Answer Key'!C18,"Correct","Incorrect"))</f>
        <v>Correct</v>
      </c>
      <c r="J21" s="2"/>
    </row>
    <row r="22" spans="2:10" x14ac:dyDescent="0.3">
      <c r="B22" s="4">
        <v>15</v>
      </c>
      <c r="C22" s="17">
        <v>1</v>
      </c>
      <c r="D22" s="17">
        <v>2</v>
      </c>
      <c r="E22" s="2"/>
      <c r="F22" s="19">
        <f>IF(C22='Answer Key'!B19,1,0)</f>
        <v>1</v>
      </c>
      <c r="G22" s="19">
        <f>IF(D22='Answer Key'!C19,1,0)</f>
        <v>1</v>
      </c>
      <c r="H22" s="19" t="str">
        <f>IF(C22="","",IF(C22='Answer Key'!B19,"Correct","Incorrect"))</f>
        <v>Correct</v>
      </c>
      <c r="I22" s="19" t="str">
        <f>IF(D22="","",IF(D22='Answer Key'!C19,"Correct","Incorrect"))</f>
        <v>Correct</v>
      </c>
      <c r="J22" s="2"/>
    </row>
    <row r="23" spans="2:10" x14ac:dyDescent="0.3">
      <c r="B23" s="4">
        <v>16</v>
      </c>
      <c r="C23" s="17">
        <v>1</v>
      </c>
      <c r="D23" s="17">
        <v>2</v>
      </c>
      <c r="E23" s="2"/>
      <c r="F23" s="19">
        <f>IF(C23='Answer Key'!B20,1,0)</f>
        <v>1</v>
      </c>
      <c r="G23" s="19">
        <f>IF(D23='Answer Key'!C20,1,0)</f>
        <v>1</v>
      </c>
      <c r="H23" s="19" t="str">
        <f>IF(C23="","",IF(C23='Answer Key'!B20,"Correct","Incorrect"))</f>
        <v>Correct</v>
      </c>
      <c r="I23" s="19" t="str">
        <f>IF(D23="","",IF(D23='Answer Key'!C20,"Correct","Incorrect"))</f>
        <v>Correct</v>
      </c>
      <c r="J23" s="2"/>
    </row>
    <row r="24" spans="2:10" x14ac:dyDescent="0.3">
      <c r="B24" s="4">
        <v>17</v>
      </c>
      <c r="C24" s="17">
        <v>0</v>
      </c>
      <c r="D24" s="17">
        <v>1</v>
      </c>
      <c r="E24" s="2"/>
      <c r="F24" s="19">
        <f>IF(C24='Answer Key'!B21,1,0)</f>
        <v>1</v>
      </c>
      <c r="G24" s="19">
        <f>IF(D24='Answer Key'!C21,1,0)</f>
        <v>1</v>
      </c>
      <c r="H24" s="19" t="str">
        <f>IF(C24="","",IF(C24='Answer Key'!B21,"Correct","Incorrect"))</f>
        <v>Correct</v>
      </c>
      <c r="I24" s="19" t="str">
        <f>IF(D24="","",IF(D24='Answer Key'!C21,"Correct","Incorrect"))</f>
        <v>Correct</v>
      </c>
      <c r="J24" s="2"/>
    </row>
    <row r="25" spans="2:10" x14ac:dyDescent="0.3">
      <c r="B25" s="4">
        <v>18</v>
      </c>
      <c r="C25" s="17">
        <v>0</v>
      </c>
      <c r="D25" s="17">
        <v>1</v>
      </c>
      <c r="E25" s="2"/>
      <c r="F25" s="19">
        <f>IF(C25='Answer Key'!B22,1,0)</f>
        <v>1</v>
      </c>
      <c r="G25" s="19">
        <f>IF(D25='Answer Key'!C22,1,0)</f>
        <v>1</v>
      </c>
      <c r="H25" s="19" t="str">
        <f>IF(C25="","",IF(C25='Answer Key'!B22,"Correct","Incorrect"))</f>
        <v>Correct</v>
      </c>
      <c r="I25" s="19" t="str">
        <f>IF(D25="","",IF(D25='Answer Key'!C22,"Correct","Incorrect"))</f>
        <v>Correct</v>
      </c>
      <c r="J25" s="2"/>
    </row>
    <row r="26" spans="2:10" x14ac:dyDescent="0.3">
      <c r="B26" s="4">
        <v>19</v>
      </c>
      <c r="C26" s="17">
        <v>0</v>
      </c>
      <c r="D26" s="17">
        <v>2</v>
      </c>
      <c r="E26" s="2"/>
      <c r="F26" s="19">
        <f>IF(C26='Answer Key'!B23,1,0)</f>
        <v>1</v>
      </c>
      <c r="G26" s="19">
        <f>IF(D26='Answer Key'!C23,1,0)</f>
        <v>1</v>
      </c>
      <c r="H26" s="19" t="str">
        <f>IF(C26="","",IF(C26='Answer Key'!B23,"Correct","Incorrect"))</f>
        <v>Correct</v>
      </c>
      <c r="I26" s="19" t="str">
        <f>IF(D26="","",IF(D26='Answer Key'!C23,"Correct","Incorrect"))</f>
        <v>Correct</v>
      </c>
      <c r="J26" s="2"/>
    </row>
    <row r="27" spans="2:10" x14ac:dyDescent="0.3">
      <c r="B27" s="4">
        <v>20</v>
      </c>
      <c r="C27" s="17">
        <v>1</v>
      </c>
      <c r="D27" s="17">
        <v>2</v>
      </c>
      <c r="E27" s="2"/>
      <c r="F27" s="19">
        <f>IF(C27='Answer Key'!B24,1,0)</f>
        <v>1</v>
      </c>
      <c r="G27" s="19">
        <f>IF(D27='Answer Key'!C24,1,0)</f>
        <v>1</v>
      </c>
      <c r="H27" s="19" t="str">
        <f>IF(C27="","",IF(C27='Answer Key'!B24,"Correct","Incorrect"))</f>
        <v>Correct</v>
      </c>
      <c r="I27" s="19" t="str">
        <f>IF(D27="","",IF(D27='Answer Key'!C24,"Correct","Incorrect"))</f>
        <v>Correct</v>
      </c>
      <c r="J27" s="2"/>
    </row>
    <row r="28" spans="2:10" x14ac:dyDescent="0.3">
      <c r="B28" s="4">
        <v>21</v>
      </c>
      <c r="C28" s="17">
        <v>1</v>
      </c>
      <c r="D28" s="17">
        <v>1</v>
      </c>
      <c r="E28" s="2"/>
      <c r="F28" s="19">
        <f>IF(C28='Answer Key'!B25,1,0)</f>
        <v>1</v>
      </c>
      <c r="G28" s="19">
        <f>IF(D28='Answer Key'!C25,1,0)</f>
        <v>1</v>
      </c>
      <c r="H28" s="19" t="str">
        <f>IF(C28="","",IF(C28='Answer Key'!B25,"Correct","Incorrect"))</f>
        <v>Correct</v>
      </c>
      <c r="I28" s="19" t="str">
        <f>IF(D28="","",IF(D28='Answer Key'!C25,"Correct","Incorrect"))</f>
        <v>Correct</v>
      </c>
      <c r="J28" s="2"/>
    </row>
    <row r="29" spans="2:10" x14ac:dyDescent="0.3">
      <c r="B29" s="4">
        <v>22</v>
      </c>
      <c r="C29" s="17">
        <v>0</v>
      </c>
      <c r="D29" s="17">
        <v>1</v>
      </c>
      <c r="E29" s="2"/>
      <c r="F29" s="19">
        <f>IF(C29='Answer Key'!B26,1,0)</f>
        <v>1</v>
      </c>
      <c r="G29" s="19">
        <f>IF(D29='Answer Key'!C26,1,0)</f>
        <v>1</v>
      </c>
      <c r="H29" s="19" t="str">
        <f>IF(C29="","",IF(C29='Answer Key'!B26,"Correct","Incorrect"))</f>
        <v>Correct</v>
      </c>
      <c r="I29" s="19" t="str">
        <f>IF(D29="","",IF(D29='Answer Key'!C26,"Correct","Incorrect"))</f>
        <v>Correct</v>
      </c>
      <c r="J29" s="2"/>
    </row>
    <row r="30" spans="2:10" x14ac:dyDescent="0.3">
      <c r="B30" s="4">
        <v>23</v>
      </c>
      <c r="C30" s="17">
        <v>1</v>
      </c>
      <c r="D30" s="17">
        <v>2</v>
      </c>
      <c r="E30" s="2"/>
      <c r="F30" s="19">
        <f>IF(C30='Answer Key'!B27,1,0)</f>
        <v>1</v>
      </c>
      <c r="G30" s="19">
        <f>IF(D30='Answer Key'!C27,1,0)</f>
        <v>1</v>
      </c>
      <c r="H30" s="19" t="str">
        <f>IF(C30="","",IF(C30='Answer Key'!B27,"Correct","Incorrect"))</f>
        <v>Correct</v>
      </c>
      <c r="I30" s="19" t="str">
        <f>IF(D30="","",IF(D30='Answer Key'!C27,"Correct","Incorrect"))</f>
        <v>Correct</v>
      </c>
      <c r="J30" s="2"/>
    </row>
    <row r="31" spans="2:10" x14ac:dyDescent="0.3">
      <c r="B31" s="4">
        <v>24</v>
      </c>
      <c r="C31" s="17">
        <v>0</v>
      </c>
      <c r="D31" s="17">
        <v>2</v>
      </c>
      <c r="E31" s="2"/>
      <c r="F31" s="19">
        <f>IF(C31='Answer Key'!B28,1,0)</f>
        <v>1</v>
      </c>
      <c r="G31" s="19">
        <f>IF(D31='Answer Key'!C28,1,0)</f>
        <v>1</v>
      </c>
      <c r="H31" s="19" t="str">
        <f>IF(C31="","",IF(C31='Answer Key'!B28,"Correct","Incorrect"))</f>
        <v>Correct</v>
      </c>
      <c r="I31" s="19" t="str">
        <f>IF(D31="","",IF(D31='Answer Key'!C28,"Correct","Incorrect"))</f>
        <v>Correct</v>
      </c>
      <c r="J31" s="2"/>
    </row>
    <row r="32" spans="2:10" x14ac:dyDescent="0.3">
      <c r="B32" s="4">
        <v>25</v>
      </c>
      <c r="C32" s="17">
        <v>1</v>
      </c>
      <c r="D32" s="17">
        <v>2</v>
      </c>
      <c r="E32" s="2"/>
      <c r="F32" s="19">
        <f>IF(C32='Answer Key'!B29,1,0)</f>
        <v>1</v>
      </c>
      <c r="G32" s="19">
        <f>IF(D32='Answer Key'!C29,1,0)</f>
        <v>1</v>
      </c>
      <c r="H32" s="19" t="str">
        <f>IF(C32="","",IF(C32='Answer Key'!B29,"Correct","Incorrect"))</f>
        <v>Correct</v>
      </c>
      <c r="I32" s="19" t="str">
        <f>IF(D32="","",IF(D32='Answer Key'!C29,"Correct","Incorrect"))</f>
        <v>Correct</v>
      </c>
      <c r="J32" s="2"/>
    </row>
    <row r="33" spans="2:10" x14ac:dyDescent="0.3">
      <c r="B33" s="4">
        <v>26</v>
      </c>
      <c r="C33" s="17">
        <v>0</v>
      </c>
      <c r="D33" s="17">
        <v>1</v>
      </c>
      <c r="E33" s="2"/>
      <c r="F33" s="19">
        <f>IF(C33='Answer Key'!B30,1,0)</f>
        <v>1</v>
      </c>
      <c r="G33" s="19">
        <f>IF(D33='Answer Key'!C30,1,0)</f>
        <v>1</v>
      </c>
      <c r="H33" s="19" t="str">
        <f>IF(C33="","",IF(C33='Answer Key'!B30,"Correct","Incorrect"))</f>
        <v>Correct</v>
      </c>
      <c r="I33" s="19" t="str">
        <f>IF(D33="","",IF(D33='Answer Key'!C30,"Correct","Incorrect"))</f>
        <v>Correct</v>
      </c>
      <c r="J33" s="2"/>
    </row>
    <row r="34" spans="2:10" x14ac:dyDescent="0.3">
      <c r="B34" s="4">
        <v>27</v>
      </c>
      <c r="C34" s="17">
        <v>0</v>
      </c>
      <c r="D34" s="17">
        <v>2</v>
      </c>
      <c r="E34" s="2"/>
      <c r="F34" s="19">
        <f>IF(C34='Answer Key'!B31,1,0)</f>
        <v>1</v>
      </c>
      <c r="G34" s="19">
        <f>IF(D34='Answer Key'!C31,1,0)</f>
        <v>1</v>
      </c>
      <c r="H34" s="19" t="str">
        <f>IF(C34="","",IF(C34='Answer Key'!B31,"Correct","Incorrect"))</f>
        <v>Correct</v>
      </c>
      <c r="I34" s="19" t="str">
        <f>IF(D34="","",IF(D34='Answer Key'!C31,"Correct","Incorrect"))</f>
        <v>Correct</v>
      </c>
      <c r="J34" s="2"/>
    </row>
    <row r="35" spans="2:10" x14ac:dyDescent="0.3">
      <c r="B35" s="4">
        <v>28</v>
      </c>
      <c r="C35" s="17">
        <v>1</v>
      </c>
      <c r="D35" s="17">
        <v>1</v>
      </c>
      <c r="E35" s="2"/>
      <c r="F35" s="19">
        <f>IF(C35='Answer Key'!B32,1,0)</f>
        <v>1</v>
      </c>
      <c r="G35" s="19">
        <f>IF(D35='Answer Key'!C32,1,0)</f>
        <v>1</v>
      </c>
      <c r="H35" s="19" t="str">
        <f>IF(C35="","",IF(C35='Answer Key'!B32,"Correct","Incorrect"))</f>
        <v>Correct</v>
      </c>
      <c r="I35" s="19" t="str">
        <f>IF(D35="","",IF(D35='Answer Key'!C32,"Correct","Incorrect"))</f>
        <v>Correct</v>
      </c>
      <c r="J35" s="2"/>
    </row>
    <row r="36" spans="2:10" x14ac:dyDescent="0.3">
      <c r="B36" s="4">
        <v>29</v>
      </c>
      <c r="C36" s="17">
        <v>0</v>
      </c>
      <c r="D36" s="17">
        <v>2</v>
      </c>
      <c r="E36" s="2"/>
      <c r="F36" s="19">
        <f>IF(C36='Answer Key'!B33,1,0)</f>
        <v>1</v>
      </c>
      <c r="G36" s="19">
        <f>IF(D36='Answer Key'!C33,1,0)</f>
        <v>1</v>
      </c>
      <c r="H36" s="19" t="str">
        <f>IF(C36="","",IF(C36='Answer Key'!B33,"Correct","Incorrect"))</f>
        <v>Correct</v>
      </c>
      <c r="I36" s="19" t="str">
        <f>IF(D36="","",IF(D36='Answer Key'!C33,"Correct","Incorrect"))</f>
        <v>Correct</v>
      </c>
      <c r="J36" s="2"/>
    </row>
    <row r="37" spans="2:10" x14ac:dyDescent="0.3">
      <c r="B37" s="4">
        <v>30</v>
      </c>
      <c r="C37" s="17">
        <v>0</v>
      </c>
      <c r="D37" s="17">
        <v>1</v>
      </c>
      <c r="E37" s="2"/>
      <c r="F37" s="19">
        <f>IF(C37='Answer Key'!B34,1,0)</f>
        <v>1</v>
      </c>
      <c r="G37" s="19">
        <f>IF(D37='Answer Key'!C34,1,0)</f>
        <v>1</v>
      </c>
      <c r="H37" s="19" t="str">
        <f>IF(C37="","",IF(C37='Answer Key'!B34,"Correct","Incorrect"))</f>
        <v>Correct</v>
      </c>
      <c r="I37" s="19" t="str">
        <f>IF(D37="","",IF(D37='Answer Key'!C34,"Correct","Incorrect"))</f>
        <v>Correct</v>
      </c>
      <c r="J37" s="2"/>
    </row>
    <row r="39" spans="2:10" x14ac:dyDescent="0.3">
      <c r="B39" s="5" t="s">
        <v>18</v>
      </c>
      <c r="C39" s="9">
        <f>100*AVERAGE(F8:F37)</f>
        <v>100</v>
      </c>
      <c r="D39" s="9">
        <f>100*AVERAGE(G8:G37)</f>
        <v>100</v>
      </c>
      <c r="H39" s="9">
        <f>28/30*100</f>
        <v>93.333333333333329</v>
      </c>
      <c r="I39" s="10"/>
    </row>
    <row r="40" spans="2:10" x14ac:dyDescent="0.3">
      <c r="B40" s="5" t="s">
        <v>9</v>
      </c>
      <c r="C40" s="9">
        <f>'Answer Key'!E36</f>
        <v>100</v>
      </c>
      <c r="D40" s="9"/>
      <c r="H40" s="10"/>
      <c r="I40" s="10"/>
    </row>
    <row r="41" spans="2:10" x14ac:dyDescent="0.3">
      <c r="B41" s="5" t="s">
        <v>10</v>
      </c>
      <c r="C41" s="9">
        <f>'Answer Key'!F36</f>
        <v>0</v>
      </c>
      <c r="D41" s="9"/>
      <c r="H41" s="10"/>
      <c r="I41" s="10"/>
    </row>
    <row r="42" spans="2:10" x14ac:dyDescent="0.3">
      <c r="B42" s="5" t="s">
        <v>11</v>
      </c>
      <c r="C42" s="9">
        <f>'Answer Key'!G36</f>
        <v>0</v>
      </c>
      <c r="D42" s="9"/>
      <c r="H42" s="10"/>
      <c r="I42" s="10"/>
    </row>
    <row r="43" spans="2:10" x14ac:dyDescent="0.3">
      <c r="B43" s="5" t="s">
        <v>12</v>
      </c>
      <c r="C43" s="9">
        <f>'Answer Key'!H36</f>
        <v>100</v>
      </c>
      <c r="D43" s="9"/>
      <c r="H43" s="10"/>
      <c r="I43" s="10"/>
    </row>
  </sheetData>
  <mergeCells count="1">
    <mergeCell ref="B2:E2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6"/>
  <sheetViews>
    <sheetView zoomScale="70" zoomScaleNormal="70" workbookViewId="0"/>
  </sheetViews>
  <sheetFormatPr defaultColWidth="11" defaultRowHeight="15.75" x14ac:dyDescent="0.25"/>
  <cols>
    <col min="1" max="1" width="24.125" style="8" bestFit="1" customWidth="1"/>
    <col min="2" max="2" width="14.5" style="8" bestFit="1" customWidth="1"/>
    <col min="3" max="3" width="15.375" style="8" bestFit="1" customWidth="1"/>
    <col min="4" max="4" width="11" style="8"/>
    <col min="5" max="5" width="5.75" style="8" bestFit="1" customWidth="1"/>
    <col min="6" max="6" width="6.875" style="8" bestFit="1" customWidth="1"/>
    <col min="7" max="7" width="11.625" style="8" bestFit="1" customWidth="1"/>
    <col min="8" max="8" width="17" style="8" bestFit="1" customWidth="1"/>
    <col min="9" max="9" width="11" style="8"/>
    <col min="10" max="10" width="5.875" style="8" bestFit="1" customWidth="1"/>
    <col min="11" max="16384" width="11" style="8"/>
  </cols>
  <sheetData>
    <row r="2" spans="1:8" x14ac:dyDescent="0.25">
      <c r="A2" s="12" t="s">
        <v>7</v>
      </c>
    </row>
    <row r="4" spans="1:8" x14ac:dyDescent="0.25">
      <c r="A4" s="11" t="s">
        <v>17</v>
      </c>
      <c r="B4" s="12" t="s">
        <v>4</v>
      </c>
      <c r="C4" s="12" t="s">
        <v>5</v>
      </c>
      <c r="E4" s="12" t="s">
        <v>9</v>
      </c>
      <c r="F4" s="12" t="s">
        <v>10</v>
      </c>
      <c r="G4" s="12" t="s">
        <v>11</v>
      </c>
      <c r="H4" s="12" t="s">
        <v>12</v>
      </c>
    </row>
    <row r="5" spans="1:8" x14ac:dyDescent="0.25">
      <c r="A5" s="8">
        <v>1</v>
      </c>
      <c r="B5" s="8">
        <v>1</v>
      </c>
      <c r="C5" s="8">
        <v>1</v>
      </c>
      <c r="E5" s="8">
        <f>IF(AND(B5=1,'Data_Collection Sheet'!C8=1),1,0)</f>
        <v>1</v>
      </c>
      <c r="F5" s="8">
        <f>IF(AND(B5=1,'Data_Collection Sheet'!C8=0),1,0)</f>
        <v>0</v>
      </c>
      <c r="G5" s="8">
        <f>IF(AND(B5=0,'Data_Collection Sheet'!C8=1),1,0)</f>
        <v>0</v>
      </c>
      <c r="H5" s="8">
        <f>IF(AND(B5=0,'Data_Collection Sheet'!C8=0),1,0)</f>
        <v>0</v>
      </c>
    </row>
    <row r="6" spans="1:8" x14ac:dyDescent="0.25">
      <c r="A6" s="8">
        <v>2</v>
      </c>
      <c r="B6" s="8">
        <v>1</v>
      </c>
      <c r="C6" s="8">
        <v>2</v>
      </c>
      <c r="E6" s="8">
        <f>IF(AND(B6=1,'Data_Collection Sheet'!C9=1),1,0)</f>
        <v>1</v>
      </c>
      <c r="F6" s="8">
        <f>IF(AND(B6=1,'Data_Collection Sheet'!C9=0),1,0)</f>
        <v>0</v>
      </c>
      <c r="G6" s="8">
        <f>IF(AND(B6=0,'Data_Collection Sheet'!C9=1),1,0)</f>
        <v>0</v>
      </c>
      <c r="H6" s="8">
        <f>IF(AND(B6=0,'Data_Collection Sheet'!C9=0),1,0)</f>
        <v>0</v>
      </c>
    </row>
    <row r="7" spans="1:8" x14ac:dyDescent="0.25">
      <c r="A7" s="8">
        <v>3</v>
      </c>
      <c r="B7" s="8">
        <v>0</v>
      </c>
      <c r="C7" s="8">
        <v>2</v>
      </c>
      <c r="E7" s="8">
        <f>IF(AND(B7=1,'Data_Collection Sheet'!C10=1),1,0)</f>
        <v>0</v>
      </c>
      <c r="F7" s="8">
        <f>IF(AND(B7=1,'Data_Collection Sheet'!C10=0),1,0)</f>
        <v>0</v>
      </c>
      <c r="G7" s="8">
        <f>IF(AND(B7=0,'Data_Collection Sheet'!C10=1),1,0)</f>
        <v>0</v>
      </c>
      <c r="H7" s="8">
        <f>IF(AND(B7=0,'Data_Collection Sheet'!C10=0),1,0)</f>
        <v>1</v>
      </c>
    </row>
    <row r="8" spans="1:8" x14ac:dyDescent="0.25">
      <c r="A8" s="8">
        <v>4</v>
      </c>
      <c r="B8" s="8">
        <v>1</v>
      </c>
      <c r="C8" s="8">
        <v>1</v>
      </c>
      <c r="E8" s="8">
        <f>IF(AND(B8=1,'Data_Collection Sheet'!C11=1),1,0)</f>
        <v>1</v>
      </c>
      <c r="F8" s="8">
        <f>IF(AND(B8=1,'Data_Collection Sheet'!C11=0),1,0)</f>
        <v>0</v>
      </c>
      <c r="G8" s="8">
        <f>IF(AND(B8=0,'Data_Collection Sheet'!C11=1),1,0)</f>
        <v>0</v>
      </c>
      <c r="H8" s="8">
        <f>IF(AND(B8=0,'Data_Collection Sheet'!C11=0),1,0)</f>
        <v>0</v>
      </c>
    </row>
    <row r="9" spans="1:8" x14ac:dyDescent="0.25">
      <c r="A9" s="8">
        <v>5</v>
      </c>
      <c r="B9" s="8">
        <v>0</v>
      </c>
      <c r="C9" s="8">
        <v>1</v>
      </c>
      <c r="E9" s="8">
        <f>IF(AND(B9=1,'Data_Collection Sheet'!C12=1),1,0)</f>
        <v>0</v>
      </c>
      <c r="F9" s="8">
        <f>IF(AND(B9=1,'Data_Collection Sheet'!C12=0),1,0)</f>
        <v>0</v>
      </c>
      <c r="G9" s="8">
        <f>IF(AND(B9=0,'Data_Collection Sheet'!C12=1),1,0)</f>
        <v>0</v>
      </c>
      <c r="H9" s="8">
        <f>IF(AND(B9=0,'Data_Collection Sheet'!C12=0),1,0)</f>
        <v>1</v>
      </c>
    </row>
    <row r="10" spans="1:8" x14ac:dyDescent="0.25">
      <c r="A10" s="8">
        <v>6</v>
      </c>
      <c r="B10" s="8">
        <v>0</v>
      </c>
      <c r="C10" s="8">
        <v>1</v>
      </c>
      <c r="E10" s="8">
        <f>IF(AND(B10=1,'Data_Collection Sheet'!C13=1),1,0)</f>
        <v>0</v>
      </c>
      <c r="F10" s="8">
        <f>IF(AND(B10=1,'Data_Collection Sheet'!C13=0),1,0)</f>
        <v>0</v>
      </c>
      <c r="G10" s="8">
        <f>IF(AND(B10=0,'Data_Collection Sheet'!C13=1),1,0)</f>
        <v>0</v>
      </c>
      <c r="H10" s="8">
        <f>IF(AND(B10=0,'Data_Collection Sheet'!C13=0),1,0)</f>
        <v>1</v>
      </c>
    </row>
    <row r="11" spans="1:8" x14ac:dyDescent="0.25">
      <c r="A11" s="8">
        <v>7</v>
      </c>
      <c r="B11" s="8">
        <v>1</v>
      </c>
      <c r="C11" s="8">
        <v>2</v>
      </c>
      <c r="E11" s="8">
        <f>IF(AND(B11=1,'Data_Collection Sheet'!C14=1),1,0)</f>
        <v>1</v>
      </c>
      <c r="F11" s="8">
        <f>IF(AND(B11=1,'Data_Collection Sheet'!C14=0),1,0)</f>
        <v>0</v>
      </c>
      <c r="G11" s="8">
        <f>IF(AND(B11=0,'Data_Collection Sheet'!C14=1),1,0)</f>
        <v>0</v>
      </c>
      <c r="H11" s="8">
        <f>IF(AND(B11=0,'Data_Collection Sheet'!C14=0),1,0)</f>
        <v>0</v>
      </c>
    </row>
    <row r="12" spans="1:8" x14ac:dyDescent="0.25">
      <c r="A12" s="8">
        <v>8</v>
      </c>
      <c r="B12" s="8">
        <v>1</v>
      </c>
      <c r="C12" s="8">
        <v>1</v>
      </c>
      <c r="E12" s="8">
        <f>IF(AND(B12=1,'Data_Collection Sheet'!C15=1),1,0)</f>
        <v>1</v>
      </c>
      <c r="F12" s="8">
        <f>IF(AND(B12=1,'Data_Collection Sheet'!C15=0),1,0)</f>
        <v>0</v>
      </c>
      <c r="G12" s="8">
        <f>IF(AND(B12=0,'Data_Collection Sheet'!C15=1),1,0)</f>
        <v>0</v>
      </c>
      <c r="H12" s="8">
        <f>IF(AND(B12=0,'Data_Collection Sheet'!C15=0),1,0)</f>
        <v>0</v>
      </c>
    </row>
    <row r="13" spans="1:8" x14ac:dyDescent="0.25">
      <c r="A13" s="8">
        <v>9</v>
      </c>
      <c r="B13" s="8">
        <v>0</v>
      </c>
      <c r="C13" s="8">
        <v>2</v>
      </c>
      <c r="E13" s="8">
        <f>IF(AND(B13=1,'Data_Collection Sheet'!C16=1),1,0)</f>
        <v>0</v>
      </c>
      <c r="F13" s="8">
        <f>IF(AND(B13=1,'Data_Collection Sheet'!C16=0),1,0)</f>
        <v>0</v>
      </c>
      <c r="G13" s="8">
        <f>IF(AND(B13=0,'Data_Collection Sheet'!C16=1),1,0)</f>
        <v>0</v>
      </c>
      <c r="H13" s="8">
        <f>IF(AND(B13=0,'Data_Collection Sheet'!C16=0),1,0)</f>
        <v>1</v>
      </c>
    </row>
    <row r="14" spans="1:8" x14ac:dyDescent="0.25">
      <c r="A14" s="8">
        <v>10</v>
      </c>
      <c r="B14" s="8">
        <v>1</v>
      </c>
      <c r="C14" s="8">
        <v>1</v>
      </c>
      <c r="E14" s="8">
        <f>IF(AND(B14=1,'Data_Collection Sheet'!C17=1),1,0)</f>
        <v>1</v>
      </c>
      <c r="F14" s="8">
        <f>IF(AND(B14=1,'Data_Collection Sheet'!C17=0),1,0)</f>
        <v>0</v>
      </c>
      <c r="G14" s="8">
        <f>IF(AND(B14=0,'Data_Collection Sheet'!C17=1),1,0)</f>
        <v>0</v>
      </c>
      <c r="H14" s="8">
        <f>IF(AND(B14=0,'Data_Collection Sheet'!C17=0),1,0)</f>
        <v>0</v>
      </c>
    </row>
    <row r="15" spans="1:8" x14ac:dyDescent="0.25">
      <c r="A15" s="8">
        <v>11</v>
      </c>
      <c r="B15" s="8">
        <v>0</v>
      </c>
      <c r="C15" s="8">
        <v>2</v>
      </c>
      <c r="E15" s="8">
        <f>IF(AND(B15=1,'Data_Collection Sheet'!C18=1),1,0)</f>
        <v>0</v>
      </c>
      <c r="F15" s="8">
        <f>IF(AND(B15=1,'Data_Collection Sheet'!C18=0),1,0)</f>
        <v>0</v>
      </c>
      <c r="G15" s="8">
        <f>IF(AND(B15=0,'Data_Collection Sheet'!C18=1),1,0)</f>
        <v>0</v>
      </c>
      <c r="H15" s="8">
        <f>IF(AND(B15=0,'Data_Collection Sheet'!C18=0),1,0)</f>
        <v>1</v>
      </c>
    </row>
    <row r="16" spans="1:8" x14ac:dyDescent="0.25">
      <c r="A16" s="8">
        <v>12</v>
      </c>
      <c r="B16" s="8">
        <v>1</v>
      </c>
      <c r="C16" s="8">
        <v>2</v>
      </c>
      <c r="E16" s="8">
        <f>IF(AND(B16=1,'Data_Collection Sheet'!C19=1),1,0)</f>
        <v>1</v>
      </c>
      <c r="F16" s="8">
        <f>IF(AND(B16=1,'Data_Collection Sheet'!C19=0),1,0)</f>
        <v>0</v>
      </c>
      <c r="G16" s="8">
        <f>IF(AND(B16=0,'Data_Collection Sheet'!C19=1),1,0)</f>
        <v>0</v>
      </c>
      <c r="H16" s="8">
        <f>IF(AND(B16=0,'Data_Collection Sheet'!C19=0),1,0)</f>
        <v>0</v>
      </c>
    </row>
    <row r="17" spans="1:8" x14ac:dyDescent="0.25">
      <c r="A17" s="8">
        <v>13</v>
      </c>
      <c r="B17" s="8">
        <v>1</v>
      </c>
      <c r="C17" s="8">
        <v>1</v>
      </c>
      <c r="E17" s="8">
        <f>IF(AND(B17=1,'Data_Collection Sheet'!C20=1),1,0)</f>
        <v>1</v>
      </c>
      <c r="F17" s="8">
        <f>IF(AND(B17=1,'Data_Collection Sheet'!C20=0),1,0)</f>
        <v>0</v>
      </c>
      <c r="G17" s="8">
        <f>IF(AND(B17=0,'Data_Collection Sheet'!C20=1),1,0)</f>
        <v>0</v>
      </c>
      <c r="H17" s="8">
        <f>IF(AND(B17=0,'Data_Collection Sheet'!C20=0),1,0)</f>
        <v>0</v>
      </c>
    </row>
    <row r="18" spans="1:8" x14ac:dyDescent="0.25">
      <c r="A18" s="8">
        <v>14</v>
      </c>
      <c r="B18" s="8">
        <v>0</v>
      </c>
      <c r="C18" s="8">
        <v>1</v>
      </c>
      <c r="E18" s="8">
        <f>IF(AND(B18=1,'Data_Collection Sheet'!C21=1),1,0)</f>
        <v>0</v>
      </c>
      <c r="F18" s="8">
        <f>IF(AND(B18=1,'Data_Collection Sheet'!C21=0),1,0)</f>
        <v>0</v>
      </c>
      <c r="G18" s="8">
        <f>IF(AND(B18=0,'Data_Collection Sheet'!C21=1),1,0)</f>
        <v>0</v>
      </c>
      <c r="H18" s="8">
        <f>IF(AND(B18=0,'Data_Collection Sheet'!C21=0),1,0)</f>
        <v>1</v>
      </c>
    </row>
    <row r="19" spans="1:8" x14ac:dyDescent="0.25">
      <c r="A19" s="8">
        <v>15</v>
      </c>
      <c r="B19" s="8">
        <v>1</v>
      </c>
      <c r="C19" s="8">
        <v>2</v>
      </c>
      <c r="E19" s="8">
        <f>IF(AND(B19=1,'Data_Collection Sheet'!C22=1),1,0)</f>
        <v>1</v>
      </c>
      <c r="F19" s="8">
        <f>IF(AND(B19=1,'Data_Collection Sheet'!C22=0),1,0)</f>
        <v>0</v>
      </c>
      <c r="G19" s="8">
        <f>IF(AND(B19=0,'Data_Collection Sheet'!C22=1),1,0)</f>
        <v>0</v>
      </c>
      <c r="H19" s="8">
        <f>IF(AND(B19=0,'Data_Collection Sheet'!C22=0),1,0)</f>
        <v>0</v>
      </c>
    </row>
    <row r="20" spans="1:8" x14ac:dyDescent="0.25">
      <c r="A20" s="8">
        <v>16</v>
      </c>
      <c r="B20" s="8">
        <v>1</v>
      </c>
      <c r="C20" s="8">
        <v>2</v>
      </c>
      <c r="E20" s="8">
        <f>IF(AND(B20=1,'Data_Collection Sheet'!C23=1),1,0)</f>
        <v>1</v>
      </c>
      <c r="F20" s="8">
        <f>IF(AND(B20=1,'Data_Collection Sheet'!C23=0),1,0)</f>
        <v>0</v>
      </c>
      <c r="G20" s="8">
        <f>IF(AND(B20=0,'Data_Collection Sheet'!C23=1),1,0)</f>
        <v>0</v>
      </c>
      <c r="H20" s="8">
        <f>IF(AND(B20=0,'Data_Collection Sheet'!C23=0),1,0)</f>
        <v>0</v>
      </c>
    </row>
    <row r="21" spans="1:8" x14ac:dyDescent="0.25">
      <c r="A21" s="8">
        <v>17</v>
      </c>
      <c r="B21" s="8">
        <v>0</v>
      </c>
      <c r="C21" s="8">
        <v>1</v>
      </c>
      <c r="E21" s="8">
        <f>IF(AND(B21=1,'Data_Collection Sheet'!C24=1),1,0)</f>
        <v>0</v>
      </c>
      <c r="F21" s="8">
        <f>IF(AND(B21=1,'Data_Collection Sheet'!C24=0),1,0)</f>
        <v>0</v>
      </c>
      <c r="G21" s="8">
        <f>IF(AND(B21=0,'Data_Collection Sheet'!C24=1),1,0)</f>
        <v>0</v>
      </c>
      <c r="H21" s="8">
        <f>IF(AND(B21=0,'Data_Collection Sheet'!C24=0),1,0)</f>
        <v>1</v>
      </c>
    </row>
    <row r="22" spans="1:8" x14ac:dyDescent="0.25">
      <c r="A22" s="8">
        <v>18</v>
      </c>
      <c r="B22" s="8">
        <v>0</v>
      </c>
      <c r="C22" s="8">
        <v>1</v>
      </c>
      <c r="E22" s="8">
        <f>IF(AND(B22=1,'Data_Collection Sheet'!C25=1),1,0)</f>
        <v>0</v>
      </c>
      <c r="F22" s="8">
        <f>IF(AND(B22=1,'Data_Collection Sheet'!C25=0),1,0)</f>
        <v>0</v>
      </c>
      <c r="G22" s="8">
        <f>IF(AND(B22=0,'Data_Collection Sheet'!C25=1),1,0)</f>
        <v>0</v>
      </c>
      <c r="H22" s="8">
        <f>IF(AND(B22=0,'Data_Collection Sheet'!C25=0),1,0)</f>
        <v>1</v>
      </c>
    </row>
    <row r="23" spans="1:8" x14ac:dyDescent="0.25">
      <c r="A23" s="8">
        <v>19</v>
      </c>
      <c r="B23" s="8">
        <v>0</v>
      </c>
      <c r="C23" s="8">
        <v>2</v>
      </c>
      <c r="E23" s="8">
        <f>IF(AND(B23=1,'Data_Collection Sheet'!C26=1),1,0)</f>
        <v>0</v>
      </c>
      <c r="F23" s="8">
        <f>IF(AND(B23=1,'Data_Collection Sheet'!C26=0),1,0)</f>
        <v>0</v>
      </c>
      <c r="G23" s="8">
        <f>IF(AND(B23=0,'Data_Collection Sheet'!C26=1),1,0)</f>
        <v>0</v>
      </c>
      <c r="H23" s="8">
        <f>IF(AND(B23=0,'Data_Collection Sheet'!C26=0),1,0)</f>
        <v>1</v>
      </c>
    </row>
    <row r="24" spans="1:8" x14ac:dyDescent="0.25">
      <c r="A24" s="8">
        <v>20</v>
      </c>
      <c r="B24" s="8">
        <v>1</v>
      </c>
      <c r="C24" s="8">
        <v>2</v>
      </c>
      <c r="E24" s="8">
        <f>IF(AND(B24=1,'Data_Collection Sheet'!C27=1),1,0)</f>
        <v>1</v>
      </c>
      <c r="F24" s="8">
        <f>IF(AND(B24=1,'Data_Collection Sheet'!C27=0),1,0)</f>
        <v>0</v>
      </c>
      <c r="G24" s="8">
        <f>IF(AND(B24=0,'Data_Collection Sheet'!C27=1),1,0)</f>
        <v>0</v>
      </c>
      <c r="H24" s="8">
        <f>IF(AND(B24=0,'Data_Collection Sheet'!C27=0),1,0)</f>
        <v>0</v>
      </c>
    </row>
    <row r="25" spans="1:8" x14ac:dyDescent="0.25">
      <c r="A25" s="8">
        <v>21</v>
      </c>
      <c r="B25" s="8">
        <v>1</v>
      </c>
      <c r="C25" s="8">
        <v>1</v>
      </c>
      <c r="E25" s="8">
        <f>IF(AND(B25=1,'Data_Collection Sheet'!C28=1),1,0)</f>
        <v>1</v>
      </c>
      <c r="F25" s="8">
        <f>IF(AND(B25=1,'Data_Collection Sheet'!C28=0),1,0)</f>
        <v>0</v>
      </c>
      <c r="G25" s="8">
        <f>IF(AND(B25=0,'Data_Collection Sheet'!C28=1),1,0)</f>
        <v>0</v>
      </c>
      <c r="H25" s="8">
        <f>IF(AND(B25=0,'Data_Collection Sheet'!C28=0),1,0)</f>
        <v>0</v>
      </c>
    </row>
    <row r="26" spans="1:8" x14ac:dyDescent="0.25">
      <c r="A26" s="8">
        <v>22</v>
      </c>
      <c r="B26" s="8">
        <v>0</v>
      </c>
      <c r="C26" s="8">
        <v>1</v>
      </c>
      <c r="E26" s="8">
        <f>IF(AND(B26=1,'Data_Collection Sheet'!C29=1),1,0)</f>
        <v>0</v>
      </c>
      <c r="F26" s="8">
        <f>IF(AND(B26=1,'Data_Collection Sheet'!C29=0),1,0)</f>
        <v>0</v>
      </c>
      <c r="G26" s="8">
        <f>IF(AND(B26=0,'Data_Collection Sheet'!C29=1),1,0)</f>
        <v>0</v>
      </c>
      <c r="H26" s="8">
        <f>IF(AND(B26=0,'Data_Collection Sheet'!C29=0),1,0)</f>
        <v>1</v>
      </c>
    </row>
    <row r="27" spans="1:8" x14ac:dyDescent="0.25">
      <c r="A27" s="8">
        <v>23</v>
      </c>
      <c r="B27" s="8">
        <v>1</v>
      </c>
      <c r="C27" s="8">
        <v>2</v>
      </c>
      <c r="E27" s="8">
        <f>IF(AND(B27=1,'Data_Collection Sheet'!C30=1),1,0)</f>
        <v>1</v>
      </c>
      <c r="F27" s="8">
        <f>IF(AND(B27=1,'Data_Collection Sheet'!C30=0),1,0)</f>
        <v>0</v>
      </c>
      <c r="G27" s="8">
        <f>IF(AND(B27=0,'Data_Collection Sheet'!C30=1),1,0)</f>
        <v>0</v>
      </c>
      <c r="H27" s="8">
        <f>IF(AND(B27=0,'Data_Collection Sheet'!C30=0),1,0)</f>
        <v>0</v>
      </c>
    </row>
    <row r="28" spans="1:8" x14ac:dyDescent="0.25">
      <c r="A28" s="8">
        <v>24</v>
      </c>
      <c r="B28" s="8">
        <v>0</v>
      </c>
      <c r="C28" s="8">
        <v>2</v>
      </c>
      <c r="E28" s="8">
        <f>IF(AND(B28=1,'Data_Collection Sheet'!C31=1),1,0)</f>
        <v>0</v>
      </c>
      <c r="F28" s="8">
        <f>IF(AND(B28=1,'Data_Collection Sheet'!C31=0),1,0)</f>
        <v>0</v>
      </c>
      <c r="G28" s="8">
        <f>IF(AND(B28=0,'Data_Collection Sheet'!C31=1),1,0)</f>
        <v>0</v>
      </c>
      <c r="H28" s="8">
        <f>IF(AND(B28=0,'Data_Collection Sheet'!C31=0),1,0)</f>
        <v>1</v>
      </c>
    </row>
    <row r="29" spans="1:8" x14ac:dyDescent="0.25">
      <c r="A29" s="8">
        <v>25</v>
      </c>
      <c r="B29" s="8">
        <v>1</v>
      </c>
      <c r="C29" s="8">
        <v>2</v>
      </c>
      <c r="E29" s="8">
        <f>IF(AND(B29=1,'Data_Collection Sheet'!C32=1),1,0)</f>
        <v>1</v>
      </c>
      <c r="F29" s="8">
        <f>IF(AND(B29=1,'Data_Collection Sheet'!C32=0),1,0)</f>
        <v>0</v>
      </c>
      <c r="G29" s="8">
        <f>IF(AND(B29=0,'Data_Collection Sheet'!C32=1),1,0)</f>
        <v>0</v>
      </c>
      <c r="H29" s="8">
        <f>IF(AND(B29=0,'Data_Collection Sheet'!C32=0),1,0)</f>
        <v>0</v>
      </c>
    </row>
    <row r="30" spans="1:8" x14ac:dyDescent="0.25">
      <c r="A30" s="8">
        <v>26</v>
      </c>
      <c r="B30" s="8">
        <v>0</v>
      </c>
      <c r="C30" s="8">
        <v>1</v>
      </c>
      <c r="E30" s="8">
        <f>IF(AND(B30=1,'Data_Collection Sheet'!C33=1),1,0)</f>
        <v>0</v>
      </c>
      <c r="F30" s="8">
        <f>IF(AND(B30=1,'Data_Collection Sheet'!C33=0),1,0)</f>
        <v>0</v>
      </c>
      <c r="G30" s="8">
        <f>IF(AND(B30=0,'Data_Collection Sheet'!C33=1),1,0)</f>
        <v>0</v>
      </c>
      <c r="H30" s="8">
        <f>IF(AND(B30=0,'Data_Collection Sheet'!C33=0),1,0)</f>
        <v>1</v>
      </c>
    </row>
    <row r="31" spans="1:8" x14ac:dyDescent="0.25">
      <c r="A31" s="8">
        <v>27</v>
      </c>
      <c r="B31" s="8">
        <v>0</v>
      </c>
      <c r="C31" s="8">
        <v>2</v>
      </c>
      <c r="E31" s="8">
        <f>IF(AND(B31=1,'Data_Collection Sheet'!C34=1),1,0)</f>
        <v>0</v>
      </c>
      <c r="F31" s="8">
        <f>IF(AND(B31=1,'Data_Collection Sheet'!C34=0),1,0)</f>
        <v>0</v>
      </c>
      <c r="G31" s="8">
        <f>IF(AND(B31=0,'Data_Collection Sheet'!C34=1),1,0)</f>
        <v>0</v>
      </c>
      <c r="H31" s="8">
        <f>IF(AND(B31=0,'Data_Collection Sheet'!C34=0),1,0)</f>
        <v>1</v>
      </c>
    </row>
    <row r="32" spans="1:8" x14ac:dyDescent="0.25">
      <c r="A32" s="8">
        <v>28</v>
      </c>
      <c r="B32" s="8">
        <v>1</v>
      </c>
      <c r="C32" s="8">
        <v>1</v>
      </c>
      <c r="E32" s="8">
        <f>IF(AND(B32=1,'Data_Collection Sheet'!C35=1),1,0)</f>
        <v>1</v>
      </c>
      <c r="F32" s="8">
        <f>IF(AND(B32=1,'Data_Collection Sheet'!C35=0),1,0)</f>
        <v>0</v>
      </c>
      <c r="G32" s="8">
        <f>IF(AND(B32=0,'Data_Collection Sheet'!C35=1),1,0)</f>
        <v>0</v>
      </c>
      <c r="H32" s="8">
        <f>IF(AND(B32=0,'Data_Collection Sheet'!C35=0),1,0)</f>
        <v>0</v>
      </c>
    </row>
    <row r="33" spans="1:8" x14ac:dyDescent="0.25">
      <c r="A33" s="8">
        <v>29</v>
      </c>
      <c r="B33" s="8">
        <v>0</v>
      </c>
      <c r="C33" s="8">
        <v>2</v>
      </c>
      <c r="E33" s="8">
        <f>IF(AND(B33=1,'Data_Collection Sheet'!C36=1),1,0)</f>
        <v>0</v>
      </c>
      <c r="F33" s="8">
        <f>IF(AND(B33=1,'Data_Collection Sheet'!C36=0),1,0)</f>
        <v>0</v>
      </c>
      <c r="G33" s="8">
        <f>IF(AND(B33=0,'Data_Collection Sheet'!C36=1),1,0)</f>
        <v>0</v>
      </c>
      <c r="H33" s="8">
        <f>IF(AND(B33=0,'Data_Collection Sheet'!C36=0),1,0)</f>
        <v>1</v>
      </c>
    </row>
    <row r="34" spans="1:8" x14ac:dyDescent="0.25">
      <c r="A34" s="8">
        <v>30</v>
      </c>
      <c r="B34" s="8">
        <v>0</v>
      </c>
      <c r="C34" s="8">
        <v>1</v>
      </c>
      <c r="E34" s="8">
        <f>IF(AND(B34=1,'Data_Collection Sheet'!C37=1),1,0)</f>
        <v>0</v>
      </c>
      <c r="F34" s="8">
        <f>IF(AND(B34=1,'Data_Collection Sheet'!C37=0),1,0)</f>
        <v>0</v>
      </c>
      <c r="G34" s="8">
        <f>IF(AND(B34=0,'Data_Collection Sheet'!C37=1),1,0)</f>
        <v>0</v>
      </c>
      <c r="H34" s="8">
        <f>IF(AND(B34=0,'Data_Collection Sheet'!C37=0),1,0)</f>
        <v>1</v>
      </c>
    </row>
    <row r="36" spans="1:8" x14ac:dyDescent="0.25">
      <c r="A36" s="7" t="s">
        <v>16</v>
      </c>
      <c r="B36" s="12">
        <f>SUM(B5:B34)</f>
        <v>15</v>
      </c>
      <c r="C36" s="12"/>
      <c r="E36" s="13">
        <f>200*AVERAGE(E5:E34)</f>
        <v>100</v>
      </c>
      <c r="F36" s="13">
        <f t="shared" ref="F36:H36" si="0">200*AVERAGE(F5:F34)</f>
        <v>0</v>
      </c>
      <c r="G36" s="13">
        <f t="shared" si="0"/>
        <v>0</v>
      </c>
      <c r="H36" s="13">
        <f t="shared" si="0"/>
        <v>100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Data_Collection Sheet</vt:lpstr>
      <vt:lpstr>Answer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Lentz</dc:creator>
  <cp:lastModifiedBy>Michael Wirtzfeld</cp:lastModifiedBy>
  <dcterms:created xsi:type="dcterms:W3CDTF">2018-06-23T15:44:28Z</dcterms:created>
  <dcterms:modified xsi:type="dcterms:W3CDTF">2025-07-28T21:54:08Z</dcterms:modified>
</cp:coreProperties>
</file>